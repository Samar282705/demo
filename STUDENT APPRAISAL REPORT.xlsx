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ptech_BLD\Desktop\2606B1\QRR JUL-2026 SIR HASSAN\"/>
    </mc:Choice>
  </mc:AlternateContent>
  <xr:revisionPtr revIDLastSave="0" documentId="13_ncr:1_{284A2AEC-035F-4666-9CEC-7F1FBCAE800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M17" i="1" s="1" a="1"/>
  <c r="M17" i="1" s="1"/>
  <c r="L18" i="1"/>
  <c r="M18" i="1" s="1" a="1"/>
  <c r="M18" i="1" s="1"/>
  <c r="L19" i="1"/>
  <c r="M19" i="1" s="1" a="1"/>
  <c r="M19" i="1" s="1"/>
  <c r="L20" i="1"/>
  <c r="M20" i="1" s="1" a="1"/>
  <c r="M20" i="1" s="1"/>
  <c r="L21" i="1"/>
  <c r="M21" i="1" s="1" a="1"/>
  <c r="M21" i="1" s="1"/>
  <c r="L22" i="1"/>
  <c r="M22" i="1" s="1" a="1"/>
  <c r="M22" i="1" s="1"/>
  <c r="L23" i="1"/>
  <c r="M23" i="1" s="1" a="1"/>
  <c r="M23" i="1" s="1"/>
  <c r="L24" i="1"/>
  <c r="M24" i="1" s="1" a="1"/>
  <c r="M24" i="1" s="1"/>
  <c r="L25" i="1"/>
  <c r="M25" i="1" s="1" a="1"/>
  <c r="M25" i="1" s="1"/>
  <c r="L26" i="1"/>
  <c r="M26" i="1" s="1" a="1"/>
  <c r="M26" i="1" s="1"/>
  <c r="L27" i="1"/>
  <c r="M27" i="1" s="1" a="1"/>
  <c r="M27" i="1" s="1"/>
  <c r="L28" i="1"/>
  <c r="M28" i="1" s="1" a="1"/>
  <c r="M28" i="1" s="1"/>
  <c r="L6" i="1"/>
  <c r="M6" i="1" s="1" a="1"/>
  <c r="M6" i="1" s="1"/>
  <c r="L3" i="1" l="1"/>
  <c r="M3" i="1" s="1" a="1"/>
  <c r="M3" i="1" s="1"/>
  <c r="L4" i="1"/>
  <c r="M4" i="1" s="1" a="1"/>
  <c r="M4" i="1" s="1"/>
  <c r="L5" i="1"/>
  <c r="M5" i="1" s="1" a="1"/>
  <c r="M5" i="1" s="1"/>
  <c r="L7" i="1"/>
  <c r="M7" i="1" s="1" a="1"/>
  <c r="M7" i="1" s="1"/>
  <c r="L8" i="1"/>
  <c r="M8" i="1" s="1" a="1"/>
  <c r="M8" i="1" s="1"/>
  <c r="L9" i="1"/>
  <c r="M9" i="1" s="1" a="1"/>
  <c r="M9" i="1" s="1"/>
  <c r="L10" i="1"/>
  <c r="M10" i="1" s="1" a="1"/>
  <c r="M10" i="1" s="1"/>
  <c r="L11" i="1"/>
  <c r="M11" i="1" s="1" a="1"/>
  <c r="M11" i="1" s="1"/>
  <c r="L12" i="1"/>
  <c r="M12" i="1" s="1" a="1"/>
  <c r="M12" i="1" s="1"/>
  <c r="L13" i="1"/>
  <c r="M13" i="1" s="1" a="1"/>
  <c r="M13" i="1" s="1"/>
  <c r="L14" i="1"/>
  <c r="M14" i="1" s="1" a="1"/>
  <c r="M14" i="1" s="1"/>
  <c r="L15" i="1"/>
  <c r="M15" i="1" s="1" a="1"/>
  <c r="M15" i="1" s="1"/>
  <c r="L16" i="1"/>
  <c r="M16" i="1" s="1" a="1"/>
  <c r="M16" i="1" s="1"/>
  <c r="L2" i="1" l="1"/>
  <c r="M2" i="1" s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<sst xmlns="http://schemas.openxmlformats.org/spreadsheetml/2006/main" count="183" uniqueCount="83">
  <si>
    <t>Student Name</t>
  </si>
  <si>
    <t>Student Id</t>
  </si>
  <si>
    <t>Faculty</t>
  </si>
  <si>
    <t>Semester</t>
  </si>
  <si>
    <t>Classess Held</t>
  </si>
  <si>
    <t>Classes Attend</t>
  </si>
  <si>
    <t>Late Arrival</t>
  </si>
  <si>
    <t>Overall Percentage</t>
  </si>
  <si>
    <t>Remarks</t>
  </si>
  <si>
    <t>Batch code</t>
  </si>
  <si>
    <t>Assignment Marks Out Of 100</t>
  </si>
  <si>
    <t>Test Marks Out Of 100</t>
  </si>
  <si>
    <t>S.NO</t>
  </si>
  <si>
    <t>ADSE</t>
  </si>
  <si>
    <t>Sir Hassan Ali</t>
  </si>
  <si>
    <t>AQSA NAZ</t>
  </si>
  <si>
    <t>DUA ARIF</t>
  </si>
  <si>
    <t xml:space="preserve">MUHAMMAD ANAS </t>
  </si>
  <si>
    <t>MUHAMMAD ISHAQ</t>
  </si>
  <si>
    <t>MUHAMMAD SIKANDAR AFRIDI</t>
  </si>
  <si>
    <t>MUHAMMAD USMAN BHATTI</t>
  </si>
  <si>
    <t>SHAHRYAR KHAN</t>
  </si>
  <si>
    <t>Ahtezaz</t>
  </si>
  <si>
    <t>Muhammad Faizan</t>
  </si>
  <si>
    <t>Furqan Mehmood</t>
  </si>
  <si>
    <t>Alisha Javed</t>
  </si>
  <si>
    <t>Aqsa Sajjad</t>
  </si>
  <si>
    <t>Fazal Subhan</t>
  </si>
  <si>
    <t>Fawad Shah</t>
  </si>
  <si>
    <t>Student1706229</t>
  </si>
  <si>
    <t>Student1706225</t>
  </si>
  <si>
    <t>Student1714322</t>
  </si>
  <si>
    <t>Student1714325</t>
  </si>
  <si>
    <t>Student1714324</t>
  </si>
  <si>
    <t>Student1706231</t>
  </si>
  <si>
    <t>Student1707374</t>
  </si>
  <si>
    <t>Student1719422</t>
  </si>
  <si>
    <t>Student1717606</t>
  </si>
  <si>
    <t>Student1718750</t>
  </si>
  <si>
    <t>Student1719126</t>
  </si>
  <si>
    <t>Student1722909</t>
  </si>
  <si>
    <t>Student1705768</t>
  </si>
  <si>
    <t>Student1722916</t>
  </si>
  <si>
    <t>2511D5</t>
  </si>
  <si>
    <t>2512A5</t>
  </si>
  <si>
    <t>DISM</t>
  </si>
  <si>
    <t>Abdul Hadi</t>
  </si>
  <si>
    <t>Abdullah .</t>
  </si>
  <si>
    <t>Afshan Hashim</t>
  </si>
  <si>
    <t>Azfareen .</t>
  </si>
  <si>
    <t>Hira Noor</t>
  </si>
  <si>
    <t>Javeria .</t>
  </si>
  <si>
    <t>Khizra Abdul Wahid</t>
  </si>
  <si>
    <t>Mahnoor .</t>
  </si>
  <si>
    <t>Manahil .</t>
  </si>
  <si>
    <t>Muhammad Abdullah</t>
  </si>
  <si>
    <t>Muhammad Hoshaim</t>
  </si>
  <si>
    <t>Muhammad Huzaifa</t>
  </si>
  <si>
    <t>Muhammad Adnan Ali</t>
  </si>
  <si>
    <t>Zaib Danish</t>
  </si>
  <si>
    <t>Zaid Raza</t>
  </si>
  <si>
    <t>Student1734554</t>
  </si>
  <si>
    <t>Student1734534</t>
  </si>
  <si>
    <t>Student1734522</t>
  </si>
  <si>
    <t>Student1734526</t>
  </si>
  <si>
    <t>Student1734531</t>
  </si>
  <si>
    <t>Student1734540</t>
  </si>
  <si>
    <t>Student1729023</t>
  </si>
  <si>
    <t>Student1734547</t>
  </si>
  <si>
    <t>Student1731278</t>
  </si>
  <si>
    <t>Student1734544</t>
  </si>
  <si>
    <t>Student1734553</t>
  </si>
  <si>
    <t>Student1734550</t>
  </si>
  <si>
    <t>2606B1</t>
  </si>
  <si>
    <t>CPISM</t>
  </si>
  <si>
    <t xml:space="preserve">MUHAMMAD SHAHID </t>
  </si>
  <si>
    <t>Student1706223</t>
  </si>
  <si>
    <t>ASSAD ABBAS</t>
  </si>
  <si>
    <t>AZAN BHATTI</t>
  </si>
  <si>
    <t>Muhammad Fawad Shah</t>
  </si>
  <si>
    <t>Muhammad Arham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</si>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</sst>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[$-409]mmm\-yy"/>
    <numFmt numFmtId="165" formatCode="[$-409]d\-mmm\-yy;@"/>
  </numFmts>
  <fonts count="3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u/>
      <sz val="7.5"/>
      <color indexed="12"/>
      <name val="Arial"/>
      <family val="2"/>
    </font>
    <font>
      <u/>
      <sz val="7.9"/>
      <color theme="10"/>
      <name val="Calibri"/>
      <family val="2"/>
    </font>
    <font>
      <u/>
      <sz val="8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2">
    <xf numFmtId="0" fontId="0" fillId="0" borderId="0"/>
    <xf numFmtId="0" fontId="5" fillId="0" borderId="0"/>
    <xf numFmtId="0" fontId="7" fillId="5" borderId="0" applyNumberFormat="0" applyBorder="0" applyAlignment="0" applyProtection="0"/>
    <xf numFmtId="0" fontId="4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4" fillId="4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3" applyNumberFormat="0" applyAlignment="0" applyProtection="0"/>
    <xf numFmtId="0" fontId="11" fillId="24" borderId="4" applyNumberFormat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6" fillId="10" borderId="3" applyNumberFormat="0" applyAlignment="0" applyProtection="0"/>
    <xf numFmtId="0" fontId="27" fillId="0" borderId="8" applyNumberFormat="0" applyFill="0" applyAlignment="0" applyProtection="0"/>
    <xf numFmtId="0" fontId="28" fillId="25" borderId="0" applyNumberFormat="0" applyBorder="0" applyAlignment="0" applyProtection="0"/>
    <xf numFmtId="0" fontId="6" fillId="0" borderId="0"/>
    <xf numFmtId="0" fontId="12" fillId="0" borderId="0"/>
    <xf numFmtId="0" fontId="4" fillId="0" borderId="0"/>
    <xf numFmtId="165" fontId="12" fillId="0" borderId="0"/>
    <xf numFmtId="0" fontId="29" fillId="0" borderId="0"/>
    <xf numFmtId="0" fontId="12" fillId="2" borderId="2" applyNumberFormat="0" applyFont="0" applyAlignment="0" applyProtection="0"/>
    <xf numFmtId="0" fontId="12" fillId="26" borderId="9" applyNumberFormat="0" applyFont="0" applyAlignment="0" applyProtection="0"/>
    <xf numFmtId="0" fontId="30" fillId="23" borderId="10" applyNumberFormat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ill="0" applyBorder="0" applyAlignment="0" applyProtection="0"/>
    <xf numFmtId="9" fontId="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" xfId="0" applyFont="1" applyBorder="1" applyAlignment="1">
      <alignment horizontal="center" vertical="center"/>
    </xf>
  </cellXfs>
  <cellStyles count="62">
    <cellStyle name="20% - Accent1 2" xfId="2" xr:uid="{C8CE8245-D256-401F-90AD-FB0C670FD63A}"/>
    <cellStyle name="20% - Accent2 2" xfId="3" xr:uid="{864F9814-FA27-4D49-B04C-AF1003704626}"/>
    <cellStyle name="20% - Accent2 2 31" xfId="4" xr:uid="{DEA1B34F-4C94-4BA8-99DC-23DA6B2E803E}"/>
    <cellStyle name="20% - Accent3 2" xfId="5" xr:uid="{BAAEC922-E6BD-4127-B1F9-0C2975FC51A1}"/>
    <cellStyle name="20% - Accent4 2" xfId="6" xr:uid="{7E1CF324-111A-4816-BF06-AA1EC49E137C}"/>
    <cellStyle name="20% - Accent5 2" xfId="7" xr:uid="{267ABBB3-0BB3-46E8-B755-065E14528D8C}"/>
    <cellStyle name="20% - Accent6 2" xfId="8" xr:uid="{E798067F-0037-467C-BCA3-795F50915AD4}"/>
    <cellStyle name="40% - Accent1 2" xfId="9" xr:uid="{9C2622F7-EB9C-4A73-B2CC-928992E951E1}"/>
    <cellStyle name="40% - Accent2 2" xfId="10" xr:uid="{70F729D8-04DF-4EA8-AAB3-ACD8671C23AC}"/>
    <cellStyle name="40% - Accent3 10" xfId="11" xr:uid="{A2B6F321-2849-4E67-A9B9-15D7707E5A7F}"/>
    <cellStyle name="40% - Accent3 2 34" xfId="12" xr:uid="{9319668C-76E4-4B16-8AAC-E705EC82A335}"/>
    <cellStyle name="40% - Accent6 2" xfId="13" xr:uid="{C145CD5A-2624-4621-AFF5-B4F88170CF3E}"/>
    <cellStyle name="60% - Accent1 2" xfId="14" xr:uid="{D92FAAB0-4FC2-4369-9FC7-10FBF45FBC58}"/>
    <cellStyle name="60% - Accent2 2" xfId="15" xr:uid="{A196898F-BC30-4D72-B498-76B78FA3377E}"/>
    <cellStyle name="60% - Accent3 2" xfId="16" xr:uid="{24EEF480-9B94-417B-9247-3C252F8E5CF1}"/>
    <cellStyle name="60% - Accent4 2" xfId="17" xr:uid="{52FFA8F4-7922-4957-A9E8-286A504938FC}"/>
    <cellStyle name="60% - Accent5 2" xfId="18" xr:uid="{AFC5041E-1B5D-4F87-A11F-68A5DC770B29}"/>
    <cellStyle name="60% - Accent6 2" xfId="19" xr:uid="{F9FEF7ED-A69B-491A-B787-A20502EBDDF9}"/>
    <cellStyle name="Accent1 2" xfId="20" xr:uid="{FAE5455F-6BB4-4A7C-B25A-AA3E842A0D7D}"/>
    <cellStyle name="Accent2 2" xfId="21" xr:uid="{4F126D54-499F-43B9-8C98-3A9930A1F775}"/>
    <cellStyle name="Accent3 2" xfId="22" xr:uid="{DB884A1F-4141-4A44-9A43-024651B18C43}"/>
    <cellStyle name="Accent6 2" xfId="23" xr:uid="{9508A1D0-6178-4914-9A8E-A20E288931B3}"/>
    <cellStyle name="Bad 2" xfId="24" xr:uid="{69CE1F46-186D-491A-AA8C-E703BA044636}"/>
    <cellStyle name="Calculation 2" xfId="25" xr:uid="{3EEE8FEC-1736-47FB-A831-8A3BB265827C}"/>
    <cellStyle name="Check Cell 2" xfId="26" xr:uid="{31619C09-9DDC-4324-8B57-6680F21084FE}"/>
    <cellStyle name="Comma 2" xfId="27" xr:uid="{5CD2E535-EE91-4983-BD6D-0610349932C1}"/>
    <cellStyle name="Comma 3" xfId="28" xr:uid="{27702B84-13EB-4D42-B7BA-7D1B8B264322}"/>
    <cellStyle name="Explanatory Text 2" xfId="29" xr:uid="{8D99C3C3-8A91-4A60-834C-A28677A99063}"/>
    <cellStyle name="Good 2" xfId="30" xr:uid="{7101DFC6-3CF6-4F05-815D-4C7914059228}"/>
    <cellStyle name="Heading 1 2" xfId="31" xr:uid="{971274BE-F2A4-4158-B8E8-9800717C113C}"/>
    <cellStyle name="Heading 2 2" xfId="32" xr:uid="{D12561F1-F000-4D31-9E68-9BAD5EAB9CAA}"/>
    <cellStyle name="Heading 3 2" xfId="33" xr:uid="{EF7AE2EC-B1F5-4861-8448-FA0486CD08B7}"/>
    <cellStyle name="Heading 4 2" xfId="34" xr:uid="{7EA69E68-CC98-44FF-A4B9-66CCCE3AEB73}"/>
    <cellStyle name="Hyperlink 11" xfId="35" xr:uid="{C1D4BC77-ABEA-4C67-8439-DC5AB6C31A3B}"/>
    <cellStyle name="Hyperlink 2" xfId="36" xr:uid="{9B40B59D-4765-4C7B-9BF1-88C0BCE34B31}"/>
    <cellStyle name="Hyperlink 2 10" xfId="37" xr:uid="{95916DA6-235B-4E59-840A-CF3B9D273EE6}"/>
    <cellStyle name="Hyperlink 2 2 2 2" xfId="38" xr:uid="{6A730A28-566B-4D7D-9513-A5B94084FE95}"/>
    <cellStyle name="Hyperlink 3" xfId="39" xr:uid="{56C1F75F-7933-449E-8F55-22622155BBD3}"/>
    <cellStyle name="Hyperlink 5 2" xfId="40" xr:uid="{358F2F36-C134-435A-BA16-79DCA1521CF1}"/>
    <cellStyle name="Hyperlink 6" xfId="41" xr:uid="{8CA19D25-78F0-4519-BCA5-F3813C0C11A2}"/>
    <cellStyle name="Hyperlink 7" xfId="42" xr:uid="{FE660C48-0628-4339-98CE-392E1ACC69B2}"/>
    <cellStyle name="Hyperlink 8" xfId="43" xr:uid="{291A6717-0BC0-4486-8B31-14981BE9002A}"/>
    <cellStyle name="Input 2" xfId="44" xr:uid="{55AFDD40-1041-4DB3-93B5-1D10C607B8BA}"/>
    <cellStyle name="Linked Cell 2" xfId="45" xr:uid="{9A042B2C-7AC9-4ECA-8845-CEC55912C008}"/>
    <cellStyle name="Neutral 2" xfId="46" xr:uid="{5D0868C6-D768-4449-BB61-C40C10C0E734}"/>
    <cellStyle name="Normal" xfId="0" builtinId="0"/>
    <cellStyle name="Normal 10" xfId="47" xr:uid="{D904F7B6-837D-4C92-ACB6-8E8EC10B5322}"/>
    <cellStyle name="Normal 10 2 2" xfId="48" xr:uid="{E19B1EF2-3EB4-4649-B35A-38611F89BBBC}"/>
    <cellStyle name="Normal 11" xfId="49" xr:uid="{A03EC059-30C7-4197-A67B-21A9A3336E0B}"/>
    <cellStyle name="Normal 19 2 2 19" xfId="50" xr:uid="{D69165C8-C79A-44FD-990E-A8388D0CD75F}"/>
    <cellStyle name="Normal 2" xfId="1" xr:uid="{944BC1AC-6D6B-4F20-9A5D-9BC8C9B115D4}"/>
    <cellStyle name="Normal 4 22" xfId="51" xr:uid="{26368209-99BD-4206-AC88-37460B5F47E1}"/>
    <cellStyle name="Note 2" xfId="52" xr:uid="{E550711F-16D0-45B2-94C1-B2DE48A082AE}"/>
    <cellStyle name="Note 2 2" xfId="53" xr:uid="{0C57E9B9-64E3-444A-BAFC-71C325B73C82}"/>
    <cellStyle name="Output 2" xfId="54" xr:uid="{A08C0549-D399-40FB-88BB-048635F78C40}"/>
    <cellStyle name="Percent 10" xfId="55" xr:uid="{C41F2320-B8A2-4E66-A3F9-C954A6EC6FAB}"/>
    <cellStyle name="Percent 11 5" xfId="56" xr:uid="{31C12B6F-C3AC-4A8C-9DE1-B7E97FBC9638}"/>
    <cellStyle name="Percent 14" xfId="57" xr:uid="{E4F3FFFD-6129-4888-A1FF-ADFCFE1ABA7C}"/>
    <cellStyle name="Percent 8" xfId="58" xr:uid="{F30B4136-4079-4DE9-A62C-C12DD6502FFF}"/>
    <cellStyle name="Title 2" xfId="59" xr:uid="{0B4A6DB0-C0EB-407B-AA14-ACF70D36F2AF}"/>
    <cellStyle name="Total 2" xfId="60" xr:uid="{591B5462-57AB-4AE8-8CF2-13F5013D33CD}"/>
    <cellStyle name="Warning Text 2" xfId="61" xr:uid="{C2B0511C-3932-4556-A36F-75FC209257AA}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</dxfs>
  <tableStyles count="4" defaultTableStyle="TableStyleMedium2" defaultPivotStyle="PivotStyleLight16">
    <tableStyle name="Student Appraisal Report-style" pivot="0" count="3" xr9:uid="{1789EDF5-2534-4B0A-B4E7-D9D40B3AAE5E}">
      <tableStyleElement type="headerRow" dxfId="23"/>
      <tableStyleElement type="firstRowStripe" dxfId="22"/>
      <tableStyleElement type="secondRowStripe" dxfId="21"/>
    </tableStyle>
    <tableStyle name="Student Appraisal Report-style 2" pivot="0" count="2" xr9:uid="{9E3BB86C-792A-4B8E-8AA3-828ACDDD86A0}">
      <tableStyleElement type="firstRowStripe" dxfId="20"/>
      <tableStyleElement type="secondRowStripe" dxfId="19"/>
    </tableStyle>
    <tableStyle name="Student Appraisal Report-style 3" pivot="0" count="2" xr9:uid="{1F9A0633-F06A-4D87-9919-01BA48A67D49}">
      <tableStyleElement type="firstRowStripe" dxfId="18"/>
      <tableStyleElement type="secondRowStripe" dxfId="17"/>
    </tableStyle>
    <tableStyle name="MySqlDefault" pivot="0" table="0" count="0" xr9:uid="{44830C49-4E07-4486-8243-0177FF997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BABE5-C3C5-4B68-B585-7F9B44929CD2}" name="Table2" displayName="Table2" ref="A1:M81" totalsRowShown="0" headerRowDxfId="16" dataDxfId="14" headerRowBorderDxfId="15" tableBorderDxfId="13">
  <autoFilter ref="A1:M81" xr:uid="{543BABE5-C3C5-4B68-B585-7F9B44929C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3" xr3:uid="{61B3F41F-15E1-42D6-84B9-E4B7883C9388}" name="S.NO" dataDxfId="12"/>
    <tableColumn id="1" xr3:uid="{FA9A569C-6FFF-4B00-B8D4-684D82F91E0A}" name="Student Name" dataDxfId="11"/>
    <tableColumn id="2" xr3:uid="{7D4B18CC-7949-4C35-BF83-DD93848614DE}" name="Student Id" dataDxfId="10"/>
    <tableColumn id="3" xr3:uid="{2A194BFA-72E2-45DE-9CF3-C49C9A1204E4}" name="Batch code" dataDxfId="9"/>
    <tableColumn id="4" xr3:uid="{B80ED2F5-73B4-43C9-874A-C63FB686E31F}" name="Faculty" dataDxfId="8"/>
    <tableColumn id="5" xr3:uid="{B949B6C5-B0F3-41BF-8CDC-A39339EAA694}" name="Semester" dataDxfId="7"/>
    <tableColumn id="6" xr3:uid="{3F953238-D09D-4FC8-9690-CF121B7373FA}" name="Classess Held" dataDxfId="6"/>
    <tableColumn id="7" xr3:uid="{676C3342-6E67-4DD8-BE64-3AC0083DAAE3}" name="Classes Attend" dataDxfId="5"/>
    <tableColumn id="8" xr3:uid="{122072BA-FA9E-4936-8B5A-3097375B9015}" name="Late Arrival" dataDxfId="4"/>
    <tableColumn id="9" xr3:uid="{B158D050-0A98-417A-B709-7578EA457993}" name="Assignment Marks Out Of 100" dataDxfId="3"/>
    <tableColumn id="10" xr3:uid="{DE97F890-B50E-429B-B512-F071B1AB04D9}" name="Test Marks Out Of 100" dataDxfId="2"/>
    <tableColumn id="11" xr3:uid="{C383CE91-EA82-40C6-8A60-9054619CB154}" name="Overall Percentage" dataDxfId="1">
      <calculatedColumnFormula>ROUND(( MAX(0,(40 - ((G2-H2)*4) - (I2*1))) + (J2/100)*30 + (K2/100)*30),2)</calculatedColumnFormula>
    </tableColumn>
    <tableColumn id="12" xr3:uid="{598A0A10-B27D-4590-AC4D-C636B0D13BC8}" name="Remarks" dataDxfId="0">
      <calculatedColumnFormula array="1">_xlfn.IFS( L2&gt;=90,"Outstanding Perfomance", L2&gt;=80,"Excellent", L2&gt;=70,"Very Good", L2&gt;=60,"Good",L2&gt;=50,"Satisfactory", L2&lt;50,"Needs Improvement" 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zoomScale="85" zoomScaleNormal="85" workbookViewId="0">
      <selection activeCell="A2" sqref="A2"/>
    </sheetView>
  </sheetViews>
  <sheetFormatPr defaultRowHeight="15"/>
  <cols>
    <col min="1" max="1" width="5.42578125" customWidth="1"/>
    <col min="2" max="2" width="29" bestFit="1" customWidth="1"/>
    <col min="3" max="3" width="18.28515625" customWidth="1"/>
    <col min="4" max="4" width="14" customWidth="1"/>
    <col min="5" max="5" width="14.5703125" customWidth="1"/>
    <col min="6" max="6" width="11.5703125" customWidth="1"/>
    <col min="7" max="8" width="12.5703125" customWidth="1"/>
    <col min="9" max="9" width="10.7109375" customWidth="1"/>
    <col min="10" max="10" width="20.5703125" customWidth="1"/>
    <col min="11" max="11" width="16.140625" customWidth="1"/>
    <col min="12" max="12" width="13.7109375" customWidth="1"/>
    <col min="13" max="13" width="24" customWidth="1"/>
    <col min="16" max="16" width="27.42578125" customWidth="1"/>
  </cols>
  <sheetData>
    <row r="1" spans="1:13" ht="31.5">
      <c r="A1" s="6" t="s">
        <v>12</v>
      </c>
      <c r="B1" s="7" t="s">
        <v>0</v>
      </c>
      <c r="C1" s="7" t="s">
        <v>1</v>
      </c>
      <c r="D1" s="7" t="s">
        <v>9</v>
      </c>
      <c r="E1" s="7" t="s">
        <v>2</v>
      </c>
      <c r="F1" s="7" t="s">
        <v>3</v>
      </c>
      <c r="G1" s="8" t="s">
        <v>4</v>
      </c>
      <c r="H1" s="8" t="s">
        <v>5</v>
      </c>
      <c r="I1" s="8" t="s">
        <v>6</v>
      </c>
      <c r="J1" s="8" t="s">
        <v>10</v>
      </c>
      <c r="K1" s="8" t="s">
        <v>11</v>
      </c>
      <c r="L1" s="8" t="s">
        <v>7</v>
      </c>
      <c r="M1" s="7" t="s">
        <v>8</v>
      </c>
    </row>
    <row r="2" spans="1:13">
      <c r="A2" s="2">
        <v>1</v>
      </c>
      <c r="B2" s="3" t="s">
        <v>15</v>
      </c>
      <c r="C2" s="5" t="s">
        <v>29</v>
      </c>
      <c r="D2" s="5" t="s">
        <v>43</v>
      </c>
      <c r="E2" s="1" t="s">
        <v>14</v>
      </c>
      <c r="F2" s="1" t="s">
        <v>13</v>
      </c>
      <c r="G2" s="1">
        <v>13</v>
      </c>
      <c r="H2" s="4">
        <v>11</v>
      </c>
      <c r="I2" s="1">
        <v>3</v>
      </c>
      <c r="J2" s="1">
        <v>80</v>
      </c>
      <c r="K2" s="1">
        <v>0</v>
      </c>
      <c r="L2" s="1">
        <f>ROUND(( MAX(0,(40 - ((G2-H2)*4) - (I2*1))) + (J2/100)*30 + (K2/100)*30),2)</f>
        <v>53</v>
      </c>
      <c r="M2" s="1" t="str" cm="1">
        <f t="array" ref="M2">_xlfn.IFS( L2&gt;=90,"Outstanding Perfomance", L2&gt;=80,"Excellent", L2&gt;=70,"Very Good", L2&gt;=60,"Good",L2&gt;=50,"Satisfactory", L2&lt;50,"Needs Improvement" )</f>
        <v>Satisfactory</v>
      </c>
    </row>
    <row r="3" spans="1:13">
      <c r="A3" s="2">
        <v>2</v>
      </c>
      <c r="B3" s="3" t="s">
        <v>16</v>
      </c>
      <c r="C3" s="5" t="s">
        <v>30</v>
      </c>
      <c r="D3" s="5" t="s">
        <v>43</v>
      </c>
      <c r="E3" s="1" t="s">
        <v>14</v>
      </c>
      <c r="F3" s="1" t="s">
        <v>13</v>
      </c>
      <c r="G3" s="1">
        <v>13</v>
      </c>
      <c r="H3" s="4">
        <v>13</v>
      </c>
      <c r="I3" s="1">
        <v>0</v>
      </c>
      <c r="J3" s="1">
        <v>80</v>
      </c>
      <c r="K3" s="1">
        <v>0</v>
      </c>
      <c r="L3" s="1">
        <f t="shared" ref="L3:L28" si="0">ROUND(( MAX(0,(40 - ((G3-H3)*4) - (I3*1))) + (J3/100)*30 + (K3/100)*30),2)</f>
        <v>64</v>
      </c>
      <c r="M3" s="1" t="str" cm="1">
        <f t="array" ref="M3">_xlfn.IFS( L3&gt;=90,"Outstanding Perfomance", L3&gt;=80,"Excellent", L3&gt;=70,"Very Good", L3&gt;=60,"Good",L3&gt;=50,"Satisfactory", L3&lt;50,"Needs Improvement" )</f>
        <v>Good</v>
      </c>
    </row>
    <row r="4" spans="1:13">
      <c r="A4" s="2">
        <v>3</v>
      </c>
      <c r="B4" s="3" t="s">
        <v>17</v>
      </c>
      <c r="C4" s="5" t="s">
        <v>31</v>
      </c>
      <c r="D4" s="5" t="s">
        <v>43</v>
      </c>
      <c r="E4" s="1" t="s">
        <v>14</v>
      </c>
      <c r="F4" s="1" t="s">
        <v>45</v>
      </c>
      <c r="G4" s="1">
        <v>13</v>
      </c>
      <c r="H4" s="4">
        <v>8</v>
      </c>
      <c r="I4" s="1">
        <v>0</v>
      </c>
      <c r="J4" s="1">
        <v>60</v>
      </c>
      <c r="K4" s="1">
        <v>0</v>
      </c>
      <c r="L4" s="1">
        <f t="shared" si="0"/>
        <v>38</v>
      </c>
      <c r="M4" s="1" t="str" cm="1">
        <f t="array" ref="M4">_xlfn.IFS( L4&gt;=90,"Outstanding Perfomance", L4&gt;=80,"Excellent", L4&gt;=70,"Very Good", L4&gt;=60,"Good",L4&gt;=50,"Satisfactory", L4&lt;50,"Needs Improvement" )</f>
        <v>Needs Improvement</v>
      </c>
    </row>
    <row r="5" spans="1:13">
      <c r="A5" s="2">
        <v>4</v>
      </c>
      <c r="B5" s="3" t="s">
        <v>18</v>
      </c>
      <c r="C5" s="5" t="s">
        <v>32</v>
      </c>
      <c r="D5" s="5" t="s">
        <v>43</v>
      </c>
      <c r="E5" s="1" t="s">
        <v>14</v>
      </c>
      <c r="F5" s="1" t="s">
        <v>13</v>
      </c>
      <c r="G5" s="1">
        <v>13</v>
      </c>
      <c r="H5" s="4">
        <v>9</v>
      </c>
      <c r="I5" s="1">
        <v>0</v>
      </c>
      <c r="J5" s="1">
        <v>0</v>
      </c>
      <c r="K5" s="1">
        <v>0</v>
      </c>
      <c r="L5" s="1">
        <f t="shared" si="0"/>
        <v>24</v>
      </c>
      <c r="M5" s="1" t="str" cm="1">
        <f t="array" ref="M5">_xlfn.IFS( L5&gt;=90,"Outstanding Perfomance", L5&gt;=80,"Excellent", L5&gt;=70,"Very Good", L5&gt;=60,"Good",L5&gt;=50,"Satisfactory", L5&lt;50,"Needs Improvement" )</f>
        <v>Needs Improvement</v>
      </c>
    </row>
    <row r="6" spans="1:13">
      <c r="A6" s="2">
        <v>5</v>
      </c>
      <c r="B6" s="3" t="s">
        <v>75</v>
      </c>
      <c r="C6" s="5" t="s">
        <v>76</v>
      </c>
      <c r="D6" s="5" t="s">
        <v>43</v>
      </c>
      <c r="E6" s="1" t="s">
        <v>14</v>
      </c>
      <c r="F6" s="1" t="s">
        <v>45</v>
      </c>
      <c r="G6" s="1">
        <v>13</v>
      </c>
      <c r="H6" s="4">
        <v>11</v>
      </c>
      <c r="I6" s="1">
        <v>0</v>
      </c>
      <c r="J6" s="1">
        <v>60</v>
      </c>
      <c r="K6" s="1">
        <v>0</v>
      </c>
      <c r="L6" s="1">
        <f t="shared" si="0"/>
        <v>50</v>
      </c>
      <c r="M6" s="1" t="str" cm="1">
        <f t="array" ref="M6">_xlfn.IFS( L6&gt;=90,"Outstanding Perfomance", L6&gt;=80,"Excellent", L6&gt;=70,"Very Good", L6&gt;=60,"Good",L6&gt;=50,"Satisfactory", L6&lt;50,"Needs Improvement" )</f>
        <v>Satisfactory</v>
      </c>
    </row>
    <row r="7" spans="1:13">
      <c r="A7" s="2">
        <v>6</v>
      </c>
      <c r="B7" s="3" t="s">
        <v>19</v>
      </c>
      <c r="C7" s="5" t="s">
        <v>33</v>
      </c>
      <c r="D7" s="5" t="s">
        <v>43</v>
      </c>
      <c r="E7" s="1" t="s">
        <v>14</v>
      </c>
      <c r="F7" s="1" t="s">
        <v>13</v>
      </c>
      <c r="G7" s="1">
        <v>13</v>
      </c>
      <c r="H7" s="4">
        <v>12</v>
      </c>
      <c r="I7" s="1">
        <v>0</v>
      </c>
      <c r="J7" s="1">
        <v>75</v>
      </c>
      <c r="K7" s="1">
        <v>0</v>
      </c>
      <c r="L7" s="1">
        <f t="shared" si="0"/>
        <v>58.5</v>
      </c>
      <c r="M7" s="1" t="str" cm="1">
        <f t="array" ref="M7">_xlfn.IFS( L7&gt;=90,"Outstanding Perfomance", L7&gt;=80,"Excellent", L7&gt;=70,"Very Good", L7&gt;=60,"Good",L7&gt;=50,"Satisfactory", L7&lt;50,"Needs Improvement" )</f>
        <v>Satisfactory</v>
      </c>
    </row>
    <row r="8" spans="1:13">
      <c r="A8" s="2">
        <v>7</v>
      </c>
      <c r="B8" s="3" t="s">
        <v>20</v>
      </c>
      <c r="C8" s="5" t="s">
        <v>34</v>
      </c>
      <c r="D8" s="5" t="s">
        <v>43</v>
      </c>
      <c r="E8" s="1" t="s">
        <v>14</v>
      </c>
      <c r="F8" s="1" t="s">
        <v>13</v>
      </c>
      <c r="G8" s="1">
        <v>13</v>
      </c>
      <c r="H8" s="4">
        <v>11</v>
      </c>
      <c r="I8" s="1">
        <v>0</v>
      </c>
      <c r="J8" s="1">
        <v>80</v>
      </c>
      <c r="K8" s="1">
        <v>35</v>
      </c>
      <c r="L8" s="1">
        <f t="shared" si="0"/>
        <v>66.5</v>
      </c>
      <c r="M8" s="1" t="str" cm="1">
        <f t="array" ref="M8">_xlfn.IFS( L8&gt;=90,"Outstanding Perfomance", L8&gt;=80,"Excellent", L8&gt;=70,"Very Good", L8&gt;=60,"Good",L8&gt;=50,"Satisfactory", L8&lt;50,"Needs Improvement" )</f>
        <v>Good</v>
      </c>
    </row>
    <row r="9" spans="1:13">
      <c r="A9" s="2">
        <v>8</v>
      </c>
      <c r="B9" s="3" t="s">
        <v>21</v>
      </c>
      <c r="C9" s="5" t="s">
        <v>35</v>
      </c>
      <c r="D9" s="5" t="s">
        <v>43</v>
      </c>
      <c r="E9" s="1" t="s">
        <v>14</v>
      </c>
      <c r="F9" s="1" t="s">
        <v>13</v>
      </c>
      <c r="G9" s="1">
        <v>13</v>
      </c>
      <c r="H9" s="4">
        <v>12</v>
      </c>
      <c r="I9" s="1">
        <v>0</v>
      </c>
      <c r="J9" s="1">
        <v>60</v>
      </c>
      <c r="K9" s="1">
        <v>0</v>
      </c>
      <c r="L9" s="1">
        <f t="shared" si="0"/>
        <v>54</v>
      </c>
      <c r="M9" s="1" t="str" cm="1">
        <f t="array" ref="M9">_xlfn.IFS( L9&gt;=90,"Outstanding Perfomance", L9&gt;=80,"Excellent", L9&gt;=70,"Very Good", L9&gt;=60,"Good",L9&gt;=50,"Satisfactory", L9&lt;50,"Needs Improvement" )</f>
        <v>Satisfactory</v>
      </c>
    </row>
    <row r="10" spans="1:13">
      <c r="A10" s="2">
        <v>9</v>
      </c>
      <c r="B10" s="3" t="s">
        <v>22</v>
      </c>
      <c r="C10" s="5" t="s">
        <v>36</v>
      </c>
      <c r="D10" s="4" t="s">
        <v>44</v>
      </c>
      <c r="E10" s="1" t="s">
        <v>14</v>
      </c>
      <c r="F10" s="1" t="s">
        <v>13</v>
      </c>
      <c r="G10" s="1">
        <v>13</v>
      </c>
      <c r="H10" s="4">
        <v>12</v>
      </c>
      <c r="I10" s="1">
        <v>0</v>
      </c>
      <c r="J10" s="1">
        <v>100</v>
      </c>
      <c r="K10" s="1">
        <v>90</v>
      </c>
      <c r="L10" s="1">
        <f t="shared" si="0"/>
        <v>93</v>
      </c>
      <c r="M10" s="1" t="str" cm="1">
        <f t="array" ref="M10">_xlfn.IFS( L10&gt;=90,"Outstanding Perfomance", L10&gt;=80,"Excellent", L10&gt;=70,"Very Good", L10&gt;=60,"Good",L10&gt;=50,"Satisfactory", L10&lt;50,"Needs Improvement" )</f>
        <v>Outstanding Perfomance</v>
      </c>
    </row>
    <row r="11" spans="1:13">
      <c r="A11" s="2">
        <v>10</v>
      </c>
      <c r="B11" s="3" t="s">
        <v>23</v>
      </c>
      <c r="C11" s="5" t="s">
        <v>37</v>
      </c>
      <c r="D11" s="4" t="s">
        <v>44</v>
      </c>
      <c r="E11" s="1" t="s">
        <v>14</v>
      </c>
      <c r="F11" s="1" t="s">
        <v>13</v>
      </c>
      <c r="G11" s="1">
        <v>13</v>
      </c>
      <c r="H11" s="4">
        <v>12</v>
      </c>
      <c r="I11" s="1">
        <v>0</v>
      </c>
      <c r="J11" s="1">
        <v>100</v>
      </c>
      <c r="K11" s="1">
        <v>85</v>
      </c>
      <c r="L11" s="1">
        <f t="shared" si="0"/>
        <v>91.5</v>
      </c>
      <c r="M11" s="1" t="str" cm="1">
        <f t="array" ref="M11">_xlfn.IFS( L11&gt;=90,"Outstanding Perfomance", L11&gt;=80,"Excellent", L11&gt;=70,"Very Good", L11&gt;=60,"Good",L11&gt;=50,"Satisfactory", L11&lt;50,"Needs Improvement" )</f>
        <v>Outstanding Perfomance</v>
      </c>
    </row>
    <row r="12" spans="1:13">
      <c r="A12" s="2">
        <v>11</v>
      </c>
      <c r="B12" s="3" t="s">
        <v>24</v>
      </c>
      <c r="C12" s="5" t="s">
        <v>38</v>
      </c>
      <c r="D12" s="4" t="s">
        <v>44</v>
      </c>
      <c r="E12" s="1" t="s">
        <v>14</v>
      </c>
      <c r="F12" s="1" t="s">
        <v>13</v>
      </c>
      <c r="G12" s="1">
        <v>13</v>
      </c>
      <c r="H12" s="4">
        <v>12</v>
      </c>
      <c r="I12" s="1">
        <v>0</v>
      </c>
      <c r="J12" s="1">
        <v>100</v>
      </c>
      <c r="K12" s="1">
        <v>90</v>
      </c>
      <c r="L12" s="1">
        <f t="shared" si="0"/>
        <v>93</v>
      </c>
      <c r="M12" s="1" t="str" cm="1">
        <f t="array" ref="M12">_xlfn.IFS( L12&gt;=90,"Outstanding Perfomance", L12&gt;=80,"Excellent", L12&gt;=70,"Very Good", L12&gt;=60,"Good",L12&gt;=50,"Satisfactory", L12&lt;50,"Needs Improvement" )</f>
        <v>Outstanding Perfomance</v>
      </c>
    </row>
    <row r="13" spans="1:13">
      <c r="A13" s="2">
        <v>12</v>
      </c>
      <c r="B13" s="3" t="s">
        <v>25</v>
      </c>
      <c r="C13" s="5" t="s">
        <v>39</v>
      </c>
      <c r="D13" s="4" t="s">
        <v>44</v>
      </c>
      <c r="E13" s="1" t="s">
        <v>14</v>
      </c>
      <c r="F13" s="1" t="s">
        <v>13</v>
      </c>
      <c r="G13" s="1">
        <v>13</v>
      </c>
      <c r="H13" s="4">
        <v>13</v>
      </c>
      <c r="I13" s="1">
        <v>0</v>
      </c>
      <c r="J13" s="1">
        <v>100</v>
      </c>
      <c r="K13" s="1">
        <v>90</v>
      </c>
      <c r="L13" s="1">
        <f t="shared" si="0"/>
        <v>97</v>
      </c>
      <c r="M13" s="1" t="str" cm="1">
        <f t="array" ref="M13">_xlfn.IFS( L13&gt;=90,"Outstanding Perfomance", L13&gt;=80,"Excellent", L13&gt;=70,"Very Good", L13&gt;=60,"Good",L13&gt;=50,"Satisfactory", L13&lt;50,"Needs Improvement" )</f>
        <v>Outstanding Perfomance</v>
      </c>
    </row>
    <row r="14" spans="1:13">
      <c r="A14" s="2">
        <v>13</v>
      </c>
      <c r="B14" s="3" t="s">
        <v>26</v>
      </c>
      <c r="C14" s="5" t="s">
        <v>40</v>
      </c>
      <c r="D14" s="4" t="s">
        <v>44</v>
      </c>
      <c r="E14" s="1" t="s">
        <v>14</v>
      </c>
      <c r="F14" s="1" t="s">
        <v>13</v>
      </c>
      <c r="G14" s="1">
        <v>13</v>
      </c>
      <c r="H14" s="4">
        <v>13</v>
      </c>
      <c r="I14" s="1">
        <v>0</v>
      </c>
      <c r="J14" s="1">
        <v>100</v>
      </c>
      <c r="K14" s="1">
        <v>85</v>
      </c>
      <c r="L14" s="1">
        <f t="shared" si="0"/>
        <v>95.5</v>
      </c>
      <c r="M14" s="1" t="str" cm="1">
        <f t="array" ref="M14">_xlfn.IFS( L14&gt;=90,"Outstanding Perfomance", L14&gt;=80,"Excellent", L14&gt;=70,"Very Good", L14&gt;=60,"Good",L14&gt;=50,"Satisfactory", L14&lt;50,"Needs Improvement" )</f>
        <v>Outstanding Perfomance</v>
      </c>
    </row>
    <row r="15" spans="1:13">
      <c r="A15" s="2">
        <v>14</v>
      </c>
      <c r="B15" s="3" t="s">
        <v>27</v>
      </c>
      <c r="C15" s="5" t="s">
        <v>41</v>
      </c>
      <c r="D15" s="4" t="s">
        <v>44</v>
      </c>
      <c r="E15" s="1" t="s">
        <v>14</v>
      </c>
      <c r="F15" s="1" t="s">
        <v>13</v>
      </c>
      <c r="G15" s="1">
        <v>13</v>
      </c>
      <c r="H15" s="4">
        <v>12</v>
      </c>
      <c r="I15" s="1">
        <v>0</v>
      </c>
      <c r="J15" s="1">
        <v>100</v>
      </c>
      <c r="K15" s="1">
        <v>85</v>
      </c>
      <c r="L15" s="1">
        <f t="shared" si="0"/>
        <v>91.5</v>
      </c>
      <c r="M15" s="1" t="str" cm="1">
        <f t="array" ref="M15">_xlfn.IFS( L15&gt;=90,"Outstanding Perfomance", L15&gt;=80,"Excellent", L15&gt;=70,"Very Good", L15&gt;=60,"Good",L15&gt;=50,"Satisfactory", L15&lt;50,"Needs Improvement" )</f>
        <v>Outstanding Perfomance</v>
      </c>
    </row>
    <row r="16" spans="1:13">
      <c r="A16" s="2">
        <v>15</v>
      </c>
      <c r="B16" s="3" t="s">
        <v>28</v>
      </c>
      <c r="C16" s="5" t="s">
        <v>42</v>
      </c>
      <c r="D16" s="4" t="s">
        <v>44</v>
      </c>
      <c r="E16" s="1" t="s">
        <v>14</v>
      </c>
      <c r="F16" s="1" t="s">
        <v>13</v>
      </c>
      <c r="G16" s="1">
        <v>13</v>
      </c>
      <c r="H16" s="4">
        <v>13</v>
      </c>
      <c r="I16" s="1">
        <v>0</v>
      </c>
      <c r="J16" s="1">
        <v>100</v>
      </c>
      <c r="K16" s="1">
        <v>90</v>
      </c>
      <c r="L16" s="1">
        <f t="shared" si="0"/>
        <v>97</v>
      </c>
      <c r="M16" s="1" t="str" cm="1">
        <f t="array" ref="M16">_xlfn.IFS( L16&gt;=90,"Outstanding Perfomance", L16&gt;=80,"Excellent", L16&gt;=70,"Very Good", L16&gt;=60,"Good",L16&gt;=50,"Satisfactory", L16&lt;50,"Needs Improvement" )</f>
        <v>Outstanding Perfomance</v>
      </c>
    </row>
    <row r="17" spans="1:13">
      <c r="A17" s="2">
        <v>17</v>
      </c>
      <c r="B17" s="3" t="s">
        <v>47</v>
      </c>
      <c r="C17" s="5" t="s">
        <v>61</v>
      </c>
      <c r="D17" s="5" t="s">
        <v>73</v>
      </c>
      <c r="E17" s="1" t="s">
        <v>14</v>
      </c>
      <c r="F17" s="1" t="s">
        <v>13</v>
      </c>
      <c r="G17" s="4">
        <v>11</v>
      </c>
      <c r="H17" s="4">
        <v>11</v>
      </c>
      <c r="I17" s="1">
        <v>0</v>
      </c>
      <c r="J17" s="1">
        <v>30</v>
      </c>
      <c r="K17" s="1">
        <v>0</v>
      </c>
      <c r="L17" s="1">
        <f t="shared" si="0"/>
        <v>49</v>
      </c>
      <c r="M17" s="1" t="str" cm="1">
        <f t="array" ref="M17">_xlfn.IFS( L17&gt;=90,"Outstanding Perfomance", L17&gt;=80,"Excellent", L17&gt;=70,"Very Good", L17&gt;=60,"Good",L17&gt;=50,"Satisfactory", L17&lt;50,"Needs Improvement" )</f>
        <v>Needs Improvement</v>
      </c>
    </row>
    <row r="18" spans="1:13">
      <c r="A18" s="2">
        <v>19</v>
      </c>
      <c r="B18" s="3" t="s">
        <v>49</v>
      </c>
      <c r="C18" s="5" t="s">
        <v>62</v>
      </c>
      <c r="D18" s="5" t="s">
        <v>73</v>
      </c>
      <c r="E18" s="1" t="s">
        <v>14</v>
      </c>
      <c r="F18" s="1" t="s">
        <v>45</v>
      </c>
      <c r="G18" s="4">
        <v>11</v>
      </c>
      <c r="H18" s="4">
        <v>14</v>
      </c>
      <c r="I18" s="1">
        <v>0</v>
      </c>
      <c r="J18" s="1">
        <v>95</v>
      </c>
      <c r="K18" s="1">
        <v>95</v>
      </c>
      <c r="L18" s="1">
        <f t="shared" si="0"/>
        <v>109</v>
      </c>
      <c r="M18" s="1" t="str" cm="1">
        <f t="array" ref="M18">_xlfn.IFS( L18&gt;=90,"Outstanding Perfomance", L18&gt;=80,"Excellent", L18&gt;=70,"Very Good", L18&gt;=60,"Good",L18&gt;=50,"Satisfactory", L18&lt;50,"Needs Improvement" )</f>
        <v>Outstanding Perfomance</v>
      </c>
    </row>
    <row r="19" spans="1:13">
      <c r="A19" s="2">
        <v>20</v>
      </c>
      <c r="B19" s="3" t="s">
        <v>50</v>
      </c>
      <c r="C19" s="5" t="s">
        <v>63</v>
      </c>
      <c r="D19" s="5" t="s">
        <v>73</v>
      </c>
      <c r="E19" s="1" t="s">
        <v>14</v>
      </c>
      <c r="F19" s="1" t="s">
        <v>13</v>
      </c>
      <c r="G19" s="4">
        <v>11</v>
      </c>
      <c r="H19" s="4">
        <v>6</v>
      </c>
      <c r="I19" s="1">
        <v>0</v>
      </c>
      <c r="J19" s="1">
        <v>60</v>
      </c>
      <c r="K19" s="1">
        <v>60</v>
      </c>
      <c r="L19" s="1">
        <f t="shared" si="0"/>
        <v>56</v>
      </c>
      <c r="M19" s="1" t="str" cm="1">
        <f t="array" ref="M19">_xlfn.IFS( L19&gt;=90,"Outstanding Perfomance", L19&gt;=80,"Excellent", L19&gt;=70,"Very Good", L19&gt;=60,"Good",L19&gt;=50,"Satisfactory", L19&lt;50,"Needs Improvement" )</f>
        <v>Satisfactory</v>
      </c>
    </row>
    <row r="20" spans="1:13">
      <c r="A20" s="2">
        <v>21</v>
      </c>
      <c r="B20" s="3" t="s">
        <v>51</v>
      </c>
      <c r="C20" s="5" t="s">
        <v>64</v>
      </c>
      <c r="D20" s="5" t="s">
        <v>73</v>
      </c>
      <c r="E20" s="1" t="s">
        <v>14</v>
      </c>
      <c r="F20" s="1" t="s">
        <v>13</v>
      </c>
      <c r="G20" s="4">
        <v>11</v>
      </c>
      <c r="H20" s="4">
        <v>9</v>
      </c>
      <c r="I20" s="1">
        <v>0</v>
      </c>
      <c r="J20" s="1">
        <v>85</v>
      </c>
      <c r="K20" s="1">
        <v>80</v>
      </c>
      <c r="L20" s="1">
        <f t="shared" si="0"/>
        <v>81.5</v>
      </c>
      <c r="M20" s="1" t="str" cm="1">
        <f t="array" ref="M20">_xlfn.IFS( L20&gt;=90,"Outstanding Perfomance", L20&gt;=80,"Excellent", L20&gt;=70,"Very Good", L20&gt;=60,"Good",L20&gt;=50,"Satisfactory", L20&lt;50,"Needs Improvement" )</f>
        <v>Excellent</v>
      </c>
    </row>
    <row r="21" spans="1:13">
      <c r="A21" s="2">
        <v>22</v>
      </c>
      <c r="B21" s="3" t="s">
        <v>52</v>
      </c>
      <c r="C21" s="5" t="s">
        <v>65</v>
      </c>
      <c r="D21" s="5" t="s">
        <v>73</v>
      </c>
      <c r="E21" s="1" t="s">
        <v>14</v>
      </c>
      <c r="F21" s="1" t="s">
        <v>45</v>
      </c>
      <c r="G21" s="4">
        <v>11</v>
      </c>
      <c r="H21" s="4">
        <v>10</v>
      </c>
      <c r="I21" s="1">
        <v>0</v>
      </c>
      <c r="J21" s="1">
        <v>95</v>
      </c>
      <c r="K21" s="1">
        <v>95</v>
      </c>
      <c r="L21" s="1">
        <f t="shared" si="0"/>
        <v>93</v>
      </c>
      <c r="M21" s="1" t="str" cm="1">
        <f t="array" ref="M21">_xlfn.IFS( L21&gt;=90,"Outstanding Perfomance", L21&gt;=80,"Excellent", L21&gt;=70,"Very Good", L21&gt;=60,"Good",L21&gt;=50,"Satisfactory", L21&lt;50,"Needs Improvement" )</f>
        <v>Outstanding Perfomance</v>
      </c>
    </row>
    <row r="22" spans="1:13">
      <c r="A22" s="2">
        <v>23</v>
      </c>
      <c r="B22" s="3" t="s">
        <v>53</v>
      </c>
      <c r="C22" s="5" t="s">
        <v>66</v>
      </c>
      <c r="D22" s="5" t="s">
        <v>73</v>
      </c>
      <c r="E22" s="1" t="s">
        <v>14</v>
      </c>
      <c r="F22" s="1" t="s">
        <v>13</v>
      </c>
      <c r="G22" s="4">
        <v>11</v>
      </c>
      <c r="H22" s="4">
        <v>11</v>
      </c>
      <c r="I22" s="1">
        <v>0</v>
      </c>
      <c r="J22" s="1">
        <v>100</v>
      </c>
      <c r="K22" s="1">
        <v>95</v>
      </c>
      <c r="L22" s="1">
        <f t="shared" si="0"/>
        <v>98.5</v>
      </c>
      <c r="M22" s="1" t="str" cm="1">
        <f t="array" ref="M22">_xlfn.IFS( L22&gt;=90,"Outstanding Perfomance", L22&gt;=80,"Excellent", L22&gt;=70,"Very Good", L22&gt;=60,"Good",L22&gt;=50,"Satisfactory", L22&lt;50,"Needs Improvement" )</f>
        <v>Outstanding Perfomance</v>
      </c>
    </row>
    <row r="23" spans="1:13">
      <c r="A23" s="2">
        <v>24</v>
      </c>
      <c r="B23" s="3" t="s">
        <v>54</v>
      </c>
      <c r="C23" s="5" t="s">
        <v>67</v>
      </c>
      <c r="D23" s="5" t="s">
        <v>73</v>
      </c>
      <c r="E23" s="1" t="s">
        <v>14</v>
      </c>
      <c r="F23" s="1" t="s">
        <v>45</v>
      </c>
      <c r="G23" s="4">
        <v>11</v>
      </c>
      <c r="H23" s="4">
        <v>10</v>
      </c>
      <c r="I23" s="1">
        <v>0</v>
      </c>
      <c r="J23" s="1">
        <v>85</v>
      </c>
      <c r="K23" s="1">
        <v>80</v>
      </c>
      <c r="L23" s="1">
        <f t="shared" si="0"/>
        <v>85.5</v>
      </c>
      <c r="M23" s="1" t="str" cm="1">
        <f t="array" ref="M23">_xlfn.IFS( L23&gt;=90,"Outstanding Perfomance", L23&gt;=80,"Excellent", L23&gt;=70,"Very Good", L23&gt;=60,"Good",L23&gt;=50,"Satisfactory", L23&lt;50,"Needs Improvement" )</f>
        <v>Excellent</v>
      </c>
    </row>
    <row r="24" spans="1:13">
      <c r="A24" s="2">
        <v>25</v>
      </c>
      <c r="B24" s="3" t="s">
        <v>55</v>
      </c>
      <c r="C24" s="5" t="s">
        <v>68</v>
      </c>
      <c r="D24" s="5" t="s">
        <v>73</v>
      </c>
      <c r="E24" s="1" t="s">
        <v>14</v>
      </c>
      <c r="F24" s="1" t="s">
        <v>13</v>
      </c>
      <c r="G24" s="4">
        <v>11</v>
      </c>
      <c r="H24" s="4">
        <v>11</v>
      </c>
      <c r="I24" s="1">
        <v>0</v>
      </c>
      <c r="J24" s="1">
        <v>65</v>
      </c>
      <c r="K24" s="1">
        <v>70</v>
      </c>
      <c r="L24" s="1">
        <f t="shared" si="0"/>
        <v>80.5</v>
      </c>
      <c r="M24" s="1" t="str" cm="1">
        <f t="array" ref="M24">_xlfn.IFS( L24&gt;=90,"Outstanding Perfomance", L24&gt;=80,"Excellent", L24&gt;=70,"Very Good", L24&gt;=60,"Good",L24&gt;=50,"Satisfactory", L24&lt;50,"Needs Improvement" )</f>
        <v>Excellent</v>
      </c>
    </row>
    <row r="25" spans="1:13">
      <c r="A25" s="2">
        <v>26</v>
      </c>
      <c r="B25" s="3" t="s">
        <v>56</v>
      </c>
      <c r="C25" s="5" t="s">
        <v>69</v>
      </c>
      <c r="D25" s="5" t="s">
        <v>73</v>
      </c>
      <c r="E25" s="1" t="s">
        <v>14</v>
      </c>
      <c r="F25" s="1" t="s">
        <v>13</v>
      </c>
      <c r="G25" s="4">
        <v>11</v>
      </c>
      <c r="H25" s="4">
        <v>11</v>
      </c>
      <c r="I25" s="1">
        <v>0</v>
      </c>
      <c r="J25" s="1">
        <v>70</v>
      </c>
      <c r="K25" s="1">
        <v>65</v>
      </c>
      <c r="L25" s="1">
        <f t="shared" si="0"/>
        <v>80.5</v>
      </c>
      <c r="M25" s="1" t="str" cm="1">
        <f t="array" ref="M25">_xlfn.IFS( L25&gt;=90,"Outstanding Perfomance", L25&gt;=80,"Excellent", L25&gt;=70,"Very Good", L25&gt;=60,"Good",L25&gt;=50,"Satisfactory", L25&lt;50,"Needs Improvement" )</f>
        <v>Excellent</v>
      </c>
    </row>
    <row r="26" spans="1:13">
      <c r="A26" s="2">
        <v>27</v>
      </c>
      <c r="B26" s="3" t="s">
        <v>57</v>
      </c>
      <c r="C26" s="5" t="s">
        <v>70</v>
      </c>
      <c r="D26" s="5" t="s">
        <v>73</v>
      </c>
      <c r="E26" s="1" t="s">
        <v>14</v>
      </c>
      <c r="F26" s="1" t="s">
        <v>45</v>
      </c>
      <c r="G26" s="4">
        <v>11</v>
      </c>
      <c r="H26" s="4">
        <v>10</v>
      </c>
      <c r="I26" s="1">
        <v>1</v>
      </c>
      <c r="J26" s="1">
        <v>80</v>
      </c>
      <c r="K26" s="1">
        <v>75</v>
      </c>
      <c r="L26" s="1">
        <f t="shared" si="0"/>
        <v>81.5</v>
      </c>
      <c r="M26" s="1" t="str" cm="1">
        <f t="array" ref="M26">_xlfn.IFS( L26&gt;=90,"Outstanding Perfomance", L26&gt;=80,"Excellent", L26&gt;=70,"Very Good", L26&gt;=60,"Good",L26&gt;=50,"Satisfactory", L26&lt;50,"Needs Improvement" )</f>
        <v>Excellent</v>
      </c>
    </row>
    <row r="27" spans="1:13">
      <c r="A27" s="2">
        <v>28</v>
      </c>
      <c r="B27" s="3" t="s">
        <v>58</v>
      </c>
      <c r="C27" s="5" t="s">
        <v>71</v>
      </c>
      <c r="D27" s="5" t="s">
        <v>73</v>
      </c>
      <c r="E27" s="1" t="s">
        <v>14</v>
      </c>
      <c r="F27" s="1" t="s">
        <v>74</v>
      </c>
      <c r="G27" s="4">
        <v>11</v>
      </c>
      <c r="H27" s="4">
        <v>11</v>
      </c>
      <c r="I27" s="1">
        <v>0</v>
      </c>
      <c r="J27" s="1">
        <v>70</v>
      </c>
      <c r="K27" s="1">
        <v>65</v>
      </c>
      <c r="L27" s="1">
        <f t="shared" si="0"/>
        <v>80.5</v>
      </c>
      <c r="M27" s="1" t="str" cm="1">
        <f t="array" ref="M27">_xlfn.IFS( L27&gt;=90,"Outstanding Perfomance", L27&gt;=80,"Excellent", L27&gt;=70,"Very Good", L27&gt;=60,"Good",L27&gt;=50,"Satisfactory", L27&lt;50,"Needs Improvement" )</f>
        <v>Excellent</v>
      </c>
    </row>
    <row r="28" spans="1:13">
      <c r="A28" s="2">
        <v>29</v>
      </c>
      <c r="B28" s="3" t="s">
        <v>59</v>
      </c>
      <c r="C28" s="5" t="s">
        <v>72</v>
      </c>
      <c r="D28" s="5" t="s">
        <v>73</v>
      </c>
      <c r="E28" s="1" t="s">
        <v>14</v>
      </c>
      <c r="F28" s="1" t="s">
        <v>13</v>
      </c>
      <c r="G28" s="4">
        <v>11</v>
      </c>
      <c r="H28" s="4">
        <v>11</v>
      </c>
      <c r="I28" s="1">
        <v>0</v>
      </c>
      <c r="J28" s="1">
        <v>65</v>
      </c>
      <c r="K28" s="1">
        <v>30</v>
      </c>
      <c r="L28" s="1">
        <f t="shared" si="0"/>
        <v>68.5</v>
      </c>
      <c r="M28" s="1" t="str" cm="1">
        <f t="array" ref="M28">_xlfn.IFS( L28&gt;=90,"Outstanding Perfomance", L28&gt;=80,"Excellent", L28&gt;=70,"Very Good", L28&gt;=60,"Good",L28&gt;=50,"Satisfactory", L28&lt;50,"Needs Improvement" )</f>
        <v>Good</v>
      </c>
    </row>
    <row r="29" spans="1:13">
      <c r="A29" s="2"/>
      <c r="B29" s="3"/>
      <c r="C29" s="4"/>
      <c r="D29" s="4"/>
      <c r="E29" s="4"/>
      <c r="F29" s="1"/>
      <c r="G29" s="1"/>
      <c r="H29" s="1"/>
      <c r="I29" s="1"/>
      <c r="J29" s="1"/>
      <c r="K29" s="1"/>
      <c r="L29" s="1"/>
      <c r="M29" s="1"/>
    </row>
    <row r="30" spans="1:13">
      <c r="A30" s="2"/>
      <c r="B30" s="3"/>
      <c r="C30" s="4"/>
      <c r="D30" s="4"/>
      <c r="E30" s="4"/>
      <c r="F30" s="1"/>
      <c r="G30" s="1"/>
      <c r="H30" s="1"/>
      <c r="I30" s="1"/>
      <c r="J30" s="1"/>
      <c r="K30" s="1"/>
      <c r="L30" s="1"/>
      <c r="M30" s="1"/>
    </row>
    <row r="31" spans="1:13">
      <c r="A31" s="2"/>
      <c r="B31" s="3"/>
      <c r="C31" s="4"/>
      <c r="D31" s="4"/>
      <c r="E31" s="4"/>
      <c r="F31" s="1"/>
      <c r="G31" s="1"/>
      <c r="H31" s="1"/>
      <c r="I31" s="1"/>
      <c r="J31" s="1"/>
      <c r="K31" s="1"/>
      <c r="L31" s="1"/>
      <c r="M31" s="1"/>
    </row>
    <row r="32" spans="1:13">
      <c r="A32" s="2"/>
      <c r="B32" s="3"/>
      <c r="C32" s="4"/>
      <c r="D32" s="4"/>
      <c r="E32" s="4"/>
      <c r="F32" s="1"/>
      <c r="G32" s="1"/>
      <c r="H32" s="1"/>
      <c r="I32" s="1"/>
      <c r="J32" s="1"/>
      <c r="K32" s="1"/>
      <c r="L32" s="1"/>
      <c r="M32" s="1"/>
    </row>
    <row r="33" spans="1:13">
      <c r="A33" s="2"/>
      <c r="B33" s="3"/>
      <c r="C33" s="4"/>
      <c r="D33" s="4"/>
      <c r="E33" s="4"/>
      <c r="F33" s="1"/>
      <c r="G33" s="1"/>
      <c r="H33" s="1"/>
      <c r="I33" s="1"/>
      <c r="J33" s="1"/>
      <c r="K33" s="1"/>
      <c r="L33" s="1"/>
      <c r="M33" s="1"/>
    </row>
    <row r="34" spans="1:13">
      <c r="A34" s="2"/>
      <c r="B34" s="3"/>
      <c r="C34" s="4"/>
      <c r="D34" s="4" t="s">
        <v>81</v>
      </c>
      <c r="E34" s="4" t="s">
        <v>82</v>
      </c>
      <c r="F34" s="1"/>
      <c r="G34" s="1"/>
      <c r="H34" s="1"/>
      <c r="I34" s="1"/>
      <c r="J34" s="1"/>
      <c r="K34" s="1"/>
      <c r="L34" s="1"/>
      <c r="M34" s="1"/>
    </row>
    <row r="35" spans="1:13">
      <c r="A35" s="2"/>
      <c r="B35" s="9" t="s">
        <v>15</v>
      </c>
      <c r="C35" s="10">
        <v>8</v>
      </c>
      <c r="D35" s="10">
        <v>13</v>
      </c>
      <c r="E35" s="10">
        <v>11</v>
      </c>
      <c r="F35" s="1"/>
      <c r="G35" s="1"/>
      <c r="H35" s="1"/>
      <c r="I35" s="1"/>
      <c r="J35" s="1"/>
      <c r="K35" s="1"/>
      <c r="L35" s="1"/>
      <c r="M35" s="1"/>
    </row>
    <row r="36" spans="1:13">
      <c r="A36" s="2"/>
      <c r="B36" s="9" t="s">
        <v>77</v>
      </c>
      <c r="C36" s="10">
        <v>8</v>
      </c>
      <c r="D36" s="10">
        <v>13</v>
      </c>
      <c r="E36" s="10">
        <v>13</v>
      </c>
      <c r="F36" s="1"/>
      <c r="G36" s="1"/>
      <c r="H36" s="1"/>
      <c r="I36" s="1"/>
      <c r="J36" s="1"/>
      <c r="K36" s="1"/>
      <c r="L36" s="1"/>
      <c r="M36" s="1"/>
    </row>
    <row r="37" spans="1:13">
      <c r="A37" s="2"/>
      <c r="B37" s="9" t="s">
        <v>78</v>
      </c>
      <c r="C37" s="10">
        <v>8</v>
      </c>
      <c r="D37" s="10">
        <v>13</v>
      </c>
      <c r="E37" s="10">
        <v>0</v>
      </c>
      <c r="F37" s="1"/>
      <c r="G37" s="1"/>
      <c r="H37" s="1"/>
      <c r="I37" s="1"/>
      <c r="J37" s="1"/>
      <c r="K37" s="1"/>
      <c r="L37" s="1"/>
      <c r="M37" s="1"/>
    </row>
    <row r="38" spans="1:13">
      <c r="A38" s="2"/>
      <c r="B38" s="9" t="s">
        <v>16</v>
      </c>
      <c r="C38" s="10">
        <v>8</v>
      </c>
      <c r="D38" s="10">
        <v>13</v>
      </c>
      <c r="E38" s="10">
        <v>12</v>
      </c>
      <c r="F38" s="1"/>
      <c r="G38" s="1"/>
      <c r="H38" s="1"/>
      <c r="I38" s="1"/>
      <c r="J38" s="1"/>
      <c r="K38" s="1"/>
      <c r="L38" s="1"/>
      <c r="M38" s="1"/>
    </row>
    <row r="39" spans="1:13">
      <c r="A39" s="2"/>
      <c r="B39" s="9" t="s">
        <v>17</v>
      </c>
      <c r="C39" s="10">
        <v>8</v>
      </c>
      <c r="D39" s="10">
        <v>13</v>
      </c>
      <c r="E39" s="10">
        <v>8</v>
      </c>
      <c r="F39" s="1"/>
      <c r="G39" s="1"/>
      <c r="H39" s="1"/>
      <c r="I39" s="1"/>
      <c r="J39" s="1"/>
      <c r="K39" s="1"/>
      <c r="L39" s="1"/>
      <c r="M39" s="1"/>
    </row>
    <row r="40" spans="1:13">
      <c r="A40" s="2"/>
      <c r="B40" s="9" t="s">
        <v>18</v>
      </c>
      <c r="C40" s="10">
        <v>8</v>
      </c>
      <c r="D40" s="10">
        <v>13</v>
      </c>
      <c r="E40" s="10">
        <v>9</v>
      </c>
      <c r="F40" s="1"/>
      <c r="G40" s="1"/>
      <c r="H40" s="1"/>
      <c r="I40" s="1"/>
      <c r="J40" s="1"/>
      <c r="K40" s="1"/>
      <c r="L40" s="1"/>
      <c r="M40" s="1"/>
    </row>
    <row r="41" spans="1:13">
      <c r="A41" s="2"/>
      <c r="B41" s="9" t="s">
        <v>75</v>
      </c>
      <c r="C41" s="10">
        <v>8</v>
      </c>
      <c r="D41" s="10">
        <v>13</v>
      </c>
      <c r="E41" s="10">
        <v>11</v>
      </c>
      <c r="F41" s="1"/>
      <c r="G41" s="1"/>
      <c r="H41" s="1"/>
      <c r="I41" s="1"/>
      <c r="J41" s="1"/>
      <c r="K41" s="1"/>
      <c r="L41" s="1"/>
      <c r="M41" s="1"/>
    </row>
    <row r="42" spans="1:13">
      <c r="A42" s="2"/>
      <c r="B42" s="9" t="s">
        <v>19</v>
      </c>
      <c r="C42" s="10">
        <v>8</v>
      </c>
      <c r="D42" s="10">
        <v>13</v>
      </c>
      <c r="E42" s="10">
        <v>12</v>
      </c>
      <c r="F42" s="1"/>
      <c r="G42" s="1"/>
      <c r="H42" s="1"/>
      <c r="I42" s="1"/>
      <c r="J42" s="1"/>
      <c r="K42" s="1"/>
      <c r="L42" s="1"/>
      <c r="M42" s="1"/>
    </row>
    <row r="43" spans="1:13">
      <c r="A43" s="2"/>
      <c r="B43" s="9" t="s">
        <v>20</v>
      </c>
      <c r="C43" s="10">
        <v>8</v>
      </c>
      <c r="D43" s="10">
        <v>13</v>
      </c>
      <c r="E43" s="10">
        <v>11</v>
      </c>
      <c r="F43" s="1"/>
      <c r="G43" s="1"/>
      <c r="H43" s="1"/>
      <c r="I43" s="1"/>
      <c r="J43" s="1"/>
      <c r="K43" s="1"/>
      <c r="L43" s="1"/>
      <c r="M43" s="1"/>
    </row>
    <row r="44" spans="1:13">
      <c r="A44" s="2"/>
      <c r="B44" s="9" t="s">
        <v>21</v>
      </c>
      <c r="C44" s="10">
        <v>8</v>
      </c>
      <c r="D44" s="10">
        <v>13</v>
      </c>
      <c r="E44" s="10">
        <v>12</v>
      </c>
      <c r="F44" s="1"/>
      <c r="G44" s="1"/>
      <c r="H44" s="1"/>
      <c r="I44" s="1"/>
      <c r="J44" s="1"/>
      <c r="K44" s="1"/>
      <c r="L44" s="1"/>
      <c r="M44" s="1"/>
    </row>
    <row r="45" spans="1:13">
      <c r="A45" s="2"/>
      <c r="B45" s="9" t="s">
        <v>22</v>
      </c>
      <c r="C45" s="10">
        <v>8</v>
      </c>
      <c r="D45" s="10">
        <v>13</v>
      </c>
      <c r="E45" s="10">
        <v>12</v>
      </c>
      <c r="F45" s="1"/>
      <c r="G45" s="1"/>
      <c r="H45" s="1"/>
      <c r="I45" s="1"/>
      <c r="J45" s="1"/>
      <c r="K45" s="1"/>
      <c r="L45" s="1"/>
      <c r="M45" s="1"/>
    </row>
    <row r="46" spans="1:13">
      <c r="A46" s="2"/>
      <c r="B46" s="9" t="s">
        <v>23</v>
      </c>
      <c r="C46" s="10">
        <v>8</v>
      </c>
      <c r="D46" s="10">
        <v>13</v>
      </c>
      <c r="E46" s="10">
        <v>12</v>
      </c>
      <c r="F46" s="1"/>
      <c r="G46" s="1"/>
      <c r="H46" s="1"/>
      <c r="I46" s="1"/>
      <c r="J46" s="1"/>
      <c r="K46" s="1"/>
      <c r="L46" s="1"/>
      <c r="M46" s="1"/>
    </row>
    <row r="47" spans="1:13">
      <c r="A47" s="2"/>
      <c r="B47" s="9" t="s">
        <v>24</v>
      </c>
      <c r="C47" s="10">
        <v>8</v>
      </c>
      <c r="D47" s="10">
        <v>13</v>
      </c>
      <c r="E47" s="10">
        <v>12</v>
      </c>
      <c r="F47" s="1"/>
      <c r="G47" s="1"/>
      <c r="H47" s="1"/>
      <c r="I47" s="1"/>
      <c r="J47" s="1"/>
      <c r="K47" s="1"/>
      <c r="L47" s="1"/>
      <c r="M47" s="1"/>
    </row>
    <row r="48" spans="1:13">
      <c r="A48" s="2"/>
      <c r="B48" s="9" t="s">
        <v>25</v>
      </c>
      <c r="C48" s="10">
        <v>8</v>
      </c>
      <c r="D48" s="10">
        <v>13</v>
      </c>
      <c r="E48" s="10">
        <v>13</v>
      </c>
      <c r="F48" s="1"/>
      <c r="G48" s="1"/>
      <c r="H48" s="1"/>
      <c r="I48" s="1"/>
      <c r="J48" s="1"/>
      <c r="K48" s="1"/>
      <c r="L48" s="1"/>
      <c r="M48" s="1"/>
    </row>
    <row r="49" spans="1:13">
      <c r="A49" s="2"/>
      <c r="B49" s="9" t="s">
        <v>26</v>
      </c>
      <c r="C49" s="10">
        <v>8</v>
      </c>
      <c r="D49" s="10">
        <v>13</v>
      </c>
      <c r="E49" s="10">
        <v>13</v>
      </c>
      <c r="F49" s="1"/>
      <c r="G49" s="1"/>
      <c r="H49" s="1"/>
      <c r="I49" s="1"/>
      <c r="J49" s="1"/>
      <c r="K49" s="1"/>
      <c r="L49" s="1"/>
      <c r="M49" s="1"/>
    </row>
    <row r="50" spans="1:13">
      <c r="A50" s="2"/>
      <c r="B50" s="9" t="s">
        <v>27</v>
      </c>
      <c r="C50" s="10">
        <v>8</v>
      </c>
      <c r="D50" s="10">
        <v>13</v>
      </c>
      <c r="E50" s="10">
        <v>12</v>
      </c>
      <c r="F50" s="1"/>
      <c r="G50" s="1"/>
      <c r="H50" s="1"/>
      <c r="I50" s="1"/>
      <c r="J50" s="1"/>
      <c r="K50" s="1"/>
      <c r="L50" s="1"/>
      <c r="M50" s="1"/>
    </row>
    <row r="51" spans="1:13">
      <c r="A51" s="2"/>
      <c r="B51" s="9" t="s">
        <v>79</v>
      </c>
      <c r="C51" s="10">
        <v>8</v>
      </c>
      <c r="D51" s="10">
        <v>13</v>
      </c>
      <c r="E51" s="10">
        <v>13</v>
      </c>
      <c r="F51" s="1"/>
      <c r="G51" s="1"/>
      <c r="H51" s="1"/>
      <c r="I51" s="1"/>
      <c r="J51" s="1"/>
      <c r="K51" s="1"/>
      <c r="L51" s="1"/>
      <c r="M51" s="1"/>
    </row>
    <row r="52" spans="1:13">
      <c r="A52" s="2"/>
      <c r="B52" s="9" t="s">
        <v>80</v>
      </c>
      <c r="C52" s="10">
        <v>8</v>
      </c>
      <c r="D52" s="10">
        <v>13</v>
      </c>
      <c r="E52" s="10">
        <v>0</v>
      </c>
      <c r="F52" s="1"/>
      <c r="G52" s="1"/>
      <c r="H52" s="1"/>
      <c r="I52" s="1"/>
      <c r="J52" s="1"/>
      <c r="K52" s="1"/>
      <c r="L52" s="1"/>
      <c r="M52" s="1"/>
    </row>
    <row r="53" spans="1:13">
      <c r="A53" s="2"/>
      <c r="B53" s="11" t="s">
        <v>46</v>
      </c>
      <c r="C53" s="10">
        <v>8</v>
      </c>
      <c r="D53" s="10">
        <v>11</v>
      </c>
      <c r="E53" s="10">
        <v>0</v>
      </c>
      <c r="F53" s="1"/>
      <c r="G53" s="1"/>
      <c r="H53" s="1"/>
      <c r="I53" s="1"/>
      <c r="J53" s="1"/>
      <c r="K53" s="1"/>
      <c r="L53" s="1"/>
      <c r="M53" s="1"/>
    </row>
    <row r="54" spans="1:13">
      <c r="A54" s="2"/>
      <c r="B54" s="11" t="s">
        <v>47</v>
      </c>
      <c r="C54" s="10">
        <v>8</v>
      </c>
      <c r="D54" s="10">
        <v>11</v>
      </c>
      <c r="E54" s="10">
        <v>11</v>
      </c>
      <c r="F54" s="1"/>
      <c r="G54" s="1"/>
      <c r="H54" s="1"/>
      <c r="I54" s="1"/>
      <c r="J54" s="1"/>
      <c r="K54" s="1"/>
      <c r="L54" s="1"/>
      <c r="M54" s="1"/>
    </row>
    <row r="55" spans="1:13">
      <c r="A55" s="2"/>
      <c r="B55" s="11" t="s">
        <v>48</v>
      </c>
      <c r="C55" s="10">
        <v>8</v>
      </c>
      <c r="D55" s="10">
        <v>11</v>
      </c>
      <c r="E55" s="10">
        <v>7</v>
      </c>
      <c r="F55" s="1"/>
      <c r="G55" s="1"/>
      <c r="H55" s="1"/>
      <c r="I55" s="1"/>
      <c r="J55" s="1"/>
      <c r="K55" s="1"/>
      <c r="L55" s="1"/>
      <c r="M55" s="1"/>
    </row>
    <row r="56" spans="1:13">
      <c r="A56" s="2"/>
      <c r="B56" s="11" t="s">
        <v>49</v>
      </c>
      <c r="C56" s="10">
        <v>8</v>
      </c>
      <c r="D56" s="10">
        <v>11</v>
      </c>
      <c r="E56" s="10">
        <v>11</v>
      </c>
      <c r="F56" s="1"/>
      <c r="G56" s="1"/>
      <c r="H56" s="1"/>
      <c r="I56" s="1"/>
      <c r="J56" s="1"/>
      <c r="K56" s="1"/>
      <c r="L56" s="1"/>
      <c r="M56" s="1"/>
    </row>
    <row r="57" spans="1:13">
      <c r="A57" s="2"/>
      <c r="B57" s="11" t="s">
        <v>50</v>
      </c>
      <c r="C57" s="10">
        <v>8</v>
      </c>
      <c r="D57" s="10">
        <v>11</v>
      </c>
      <c r="E57" s="10">
        <v>6</v>
      </c>
      <c r="F57" s="1"/>
      <c r="G57" s="1"/>
      <c r="H57" s="1"/>
      <c r="I57" s="1"/>
      <c r="J57" s="1"/>
      <c r="K57" s="1"/>
      <c r="L57" s="1"/>
      <c r="M57" s="1"/>
    </row>
    <row r="58" spans="1:13">
      <c r="A58" s="2"/>
      <c r="B58" s="11" t="s">
        <v>51</v>
      </c>
      <c r="C58" s="10">
        <v>8</v>
      </c>
      <c r="D58" s="10">
        <v>11</v>
      </c>
      <c r="E58" s="10">
        <v>9</v>
      </c>
      <c r="F58" s="1"/>
      <c r="G58" s="1"/>
      <c r="H58" s="1"/>
      <c r="I58" s="1"/>
      <c r="J58" s="1"/>
      <c r="K58" s="1"/>
      <c r="L58" s="1"/>
      <c r="M58" s="1"/>
    </row>
    <row r="59" spans="1:13">
      <c r="A59" s="2"/>
      <c r="B59" s="11" t="s">
        <v>52</v>
      </c>
      <c r="C59" s="10">
        <v>8</v>
      </c>
      <c r="D59" s="10">
        <v>11</v>
      </c>
      <c r="E59" s="10">
        <v>10</v>
      </c>
      <c r="F59" s="1"/>
      <c r="G59" s="1"/>
      <c r="H59" s="1"/>
      <c r="I59" s="1"/>
      <c r="J59" s="1"/>
      <c r="K59" s="1"/>
      <c r="L59" s="1"/>
      <c r="M59" s="1"/>
    </row>
    <row r="60" spans="1:13">
      <c r="A60" s="2"/>
      <c r="B60" s="11" t="s">
        <v>53</v>
      </c>
      <c r="C60" s="10">
        <v>8</v>
      </c>
      <c r="D60" s="10">
        <v>11</v>
      </c>
      <c r="E60" s="10">
        <v>11</v>
      </c>
      <c r="F60" s="1"/>
      <c r="G60" s="1"/>
      <c r="H60" s="1"/>
      <c r="I60" s="1"/>
      <c r="J60" s="1"/>
      <c r="K60" s="1"/>
      <c r="L60" s="1"/>
      <c r="M60" s="1"/>
    </row>
    <row r="61" spans="1:13">
      <c r="A61" s="2"/>
      <c r="B61" s="11" t="s">
        <v>54</v>
      </c>
      <c r="C61" s="10">
        <v>8</v>
      </c>
      <c r="D61" s="10">
        <v>11</v>
      </c>
      <c r="E61" s="10">
        <v>10</v>
      </c>
      <c r="F61" s="1"/>
      <c r="G61" s="1"/>
      <c r="H61" s="1"/>
      <c r="I61" s="1"/>
      <c r="J61" s="1"/>
      <c r="K61" s="1"/>
      <c r="L61" s="1"/>
      <c r="M61" s="1"/>
    </row>
    <row r="62" spans="1:13">
      <c r="A62" s="2"/>
      <c r="B62" s="11" t="s">
        <v>55</v>
      </c>
      <c r="C62" s="10">
        <v>8</v>
      </c>
      <c r="D62" s="10">
        <v>11</v>
      </c>
      <c r="E62" s="10">
        <v>11</v>
      </c>
      <c r="F62" s="1"/>
      <c r="G62" s="1"/>
      <c r="H62" s="1"/>
      <c r="I62" s="1"/>
      <c r="J62" s="1"/>
      <c r="K62" s="1"/>
      <c r="L62" s="1"/>
      <c r="M62" s="1"/>
    </row>
    <row r="63" spans="1:13">
      <c r="A63" s="2"/>
      <c r="B63" s="11" t="s">
        <v>56</v>
      </c>
      <c r="C63" s="10">
        <v>8</v>
      </c>
      <c r="D63" s="10">
        <v>11</v>
      </c>
      <c r="E63" s="10">
        <v>11</v>
      </c>
      <c r="F63" s="1"/>
      <c r="G63" s="1"/>
      <c r="H63" s="1"/>
      <c r="I63" s="1"/>
      <c r="J63" s="1"/>
      <c r="K63" s="1"/>
      <c r="L63" s="1"/>
      <c r="M63" s="1"/>
    </row>
    <row r="64" spans="1:13">
      <c r="A64" s="2"/>
      <c r="B64" s="11" t="s">
        <v>57</v>
      </c>
      <c r="C64" s="10">
        <v>8</v>
      </c>
      <c r="D64" s="10">
        <v>11</v>
      </c>
      <c r="E64" s="10">
        <v>10</v>
      </c>
      <c r="F64" s="1"/>
      <c r="G64" s="1"/>
      <c r="H64" s="1"/>
      <c r="I64" s="1"/>
      <c r="J64" s="1"/>
      <c r="K64" s="1"/>
      <c r="L64" s="1"/>
      <c r="M64" s="1"/>
    </row>
    <row r="65" spans="1:13">
      <c r="A65" s="2"/>
      <c r="B65" s="11" t="s">
        <v>58</v>
      </c>
      <c r="C65" s="10">
        <v>8</v>
      </c>
      <c r="D65" s="10">
        <v>11</v>
      </c>
      <c r="E65" s="10">
        <v>11</v>
      </c>
      <c r="F65" s="1"/>
      <c r="G65" s="1"/>
      <c r="H65" s="1"/>
      <c r="I65" s="1"/>
      <c r="J65" s="1"/>
      <c r="K65" s="1"/>
      <c r="L65" s="1"/>
      <c r="M65" s="1"/>
    </row>
    <row r="66" spans="1:13">
      <c r="A66" s="2"/>
      <c r="B66" s="11" t="s">
        <v>59</v>
      </c>
      <c r="C66" s="10">
        <v>8</v>
      </c>
      <c r="D66" s="10">
        <v>11</v>
      </c>
      <c r="E66" s="10">
        <v>11</v>
      </c>
      <c r="F66" s="1"/>
      <c r="G66" s="1"/>
      <c r="H66" s="1"/>
      <c r="I66" s="1"/>
      <c r="J66" s="1"/>
      <c r="K66" s="1"/>
      <c r="L66" s="1"/>
      <c r="M66" s="1"/>
    </row>
    <row r="67" spans="1:13">
      <c r="A67" s="2"/>
      <c r="B67" s="11" t="s">
        <v>60</v>
      </c>
      <c r="C67" s="10">
        <v>8</v>
      </c>
      <c r="D67" s="10">
        <v>11</v>
      </c>
      <c r="E67" s="10">
        <v>2</v>
      </c>
      <c r="F67" s="1"/>
      <c r="G67" s="1"/>
      <c r="H67" s="1"/>
      <c r="I67" s="1"/>
      <c r="J67" s="1"/>
      <c r="K67" s="1"/>
      <c r="L67" s="1"/>
      <c r="M67" s="1"/>
    </row>
    <row r="68" spans="1:1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phoneticPr fontId="3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Aptech_BLD</cp:lastModifiedBy>
  <dcterms:created xsi:type="dcterms:W3CDTF">2015-06-05T18:17:20Z</dcterms:created>
  <dcterms:modified xsi:type="dcterms:W3CDTF">2026-09-02T07:43:58Z</dcterms:modified>
</cp:coreProperties>
</file>